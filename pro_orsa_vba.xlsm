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91adf97f10d5a4/Documents/Apprentissage/"/>
    </mc:Choice>
  </mc:AlternateContent>
  <xr:revisionPtr revIDLastSave="16" documentId="8_{9D10DA13-65D5-443F-9F6D-AB6121BCDFCB}" xr6:coauthVersionLast="47" xr6:coauthVersionMax="47" xr10:uidLastSave="{06DD9ECE-479E-4B38-A195-6D01D13DEAB3}"/>
  <bookViews>
    <workbookView xWindow="0" yWindow="0" windowWidth="23040" windowHeight="12960" activeTab="6" xr2:uid="{15ED68EC-A481-4046-ADB8-506299B25A1F}"/>
  </bookViews>
  <sheets>
    <sheet name="Paramètres" sheetId="1" r:id="rId1"/>
    <sheet name="Résultats" sheetId="2" r:id="rId2"/>
    <sheet name="Graphique" sheetId="3" r:id="rId3"/>
    <sheet name="Résultats_Comparatifs" sheetId="6" r:id="rId4"/>
    <sheet name="Résultats_MC" sheetId="7" r:id="rId5"/>
    <sheet name="GraphiqueComp" sheetId="5" state="hidden" r:id="rId6"/>
    <sheet name="Documentation" sheetId="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<sst xmlns="http://schemas.openxmlformats.org/spreadsheetml/2006/main" count="188" uniqueCount="161">
  <si>
    <t>Actif inittial (€)</t>
  </si>
  <si>
    <t>Scénario climatique</t>
  </si>
  <si>
    <t>Année -4</t>
  </si>
  <si>
    <t>Année -3</t>
  </si>
  <si>
    <t>Année -2</t>
  </si>
  <si>
    <t>Année -1</t>
  </si>
  <si>
    <t>Année 0</t>
  </si>
  <si>
    <t>BEL initial (€)</t>
  </si>
  <si>
    <t>Prime initiale (€)</t>
  </si>
  <si>
    <t>Taux d'intérêt (%)</t>
  </si>
  <si>
    <t>Historique sinistres</t>
  </si>
  <si>
    <t>Paramètres</t>
  </si>
  <si>
    <t>Année</t>
  </si>
  <si>
    <t>Extrême</t>
  </si>
  <si>
    <t>Modéré</t>
  </si>
  <si>
    <t>Sévère</t>
  </si>
  <si>
    <t>SCR_Taux</t>
  </si>
  <si>
    <t>SCR_Actions</t>
  </si>
  <si>
    <t>SCR_Spread</t>
  </si>
  <si>
    <t>SCR_Immo</t>
  </si>
  <si>
    <t>SCR_Marche</t>
  </si>
  <si>
    <t>SCR_Inond</t>
  </si>
  <si>
    <t>SCR_Sech</t>
  </si>
  <si>
    <t>SCR_Temp</t>
  </si>
  <si>
    <t>SCR_Autres</t>
  </si>
  <si>
    <t>SCR_NonVie</t>
  </si>
  <si>
    <t>SCR_Credit</t>
  </si>
  <si>
    <t>SCR_Vie</t>
  </si>
  <si>
    <t>SCR_Op</t>
  </si>
  <si>
    <t>BSCR</t>
  </si>
  <si>
    <t>N+0</t>
  </si>
  <si>
    <t>N+1</t>
  </si>
  <si>
    <t>N+2</t>
  </si>
  <si>
    <t>N+3</t>
  </si>
  <si>
    <t>N+4</t>
  </si>
  <si>
    <t>Scénario</t>
  </si>
  <si>
    <t>BOF (A-BEL)</t>
  </si>
  <si>
    <t>BSCR Final</t>
  </si>
  <si>
    <t>Solvabilité</t>
  </si>
  <si>
    <t>NOK</t>
  </si>
  <si>
    <t>Commentaires</t>
  </si>
  <si>
    <t xml:space="preserve">Part Non-Vie : 72,8% ; Part Marché : 45,0% ; Risque opérationnel notable. </t>
  </si>
  <si>
    <t>BSCR_moyen</t>
  </si>
  <si>
    <t>BSCR_std</t>
  </si>
  <si>
    <t>BSCR_minus1sigma</t>
  </si>
  <si>
    <t>BSCR_plus1sigma</t>
  </si>
  <si>
    <t>Élément</t>
  </si>
  <si>
    <t>Hypothèse</t>
  </si>
  <si>
    <t>Périmètre</t>
  </si>
  <si>
    <t>Assureur non-vie diversifié (marché national)</t>
  </si>
  <si>
    <t>Monnaie</t>
  </si>
  <si>
    <t>Euro (€)</t>
  </si>
  <si>
    <t>Horizon ORSA</t>
  </si>
  <si>
    <t>5 ans (N → N+4)</t>
  </si>
  <si>
    <t>Méthode de solvabilité</t>
  </si>
  <si>
    <t>Solvabilité II – Formule Standard</t>
  </si>
  <si>
    <t>Capital disponible utilisé</t>
  </si>
  <si>
    <t>BOF (Basic Own Funds)</t>
  </si>
  <si>
    <t>BOF = Actifs − BEL</t>
  </si>
  <si>
    <t>Pas de marges contractuelles futures</t>
  </si>
  <si>
    <t>Hypothèses générales</t>
  </si>
  <si>
    <t>Actifs — Risque de marché</t>
  </si>
  <si>
    <t>Sous-module</t>
  </si>
  <si>
    <t>Hypothèses</t>
  </si>
  <si>
    <t>Structure du portefeuille</t>
  </si>
  <si>
    <t>76% obligations / 20% actions / 4% immobilier</t>
  </si>
  <si>
    <t>Rendements attendus</t>
  </si>
  <si>
    <t>Fixes selon taux d’entrée</t>
  </si>
  <si>
    <t>Actualisation</t>
  </si>
  <si>
    <t>Sur toute la durée de vie des instruments</t>
  </si>
  <si>
    <t>Coupons obligataires</t>
  </si>
  <si>
    <t>Constantes / risque de défaut ignoré dans le central</t>
  </si>
  <si>
    <t xml:space="preserve">Chocs appliqués par scénario </t>
  </si>
  <si>
    <t>Taux</t>
  </si>
  <si>
    <t>Spread</t>
  </si>
  <si>
    <t>Actions</t>
  </si>
  <si>
    <t>Immobilier</t>
  </si>
  <si>
    <t>-0.1% par an</t>
  </si>
  <si>
    <t>-0.3%</t>
  </si>
  <si>
    <t>-0.5%</t>
  </si>
  <si>
    <t>Lié au risque de transition et politique climatique</t>
  </si>
  <si>
    <t>Passifs — Risque Vie / Non-Vie</t>
  </si>
  <si>
    <t>SCR Non-Vie (catastrophes)</t>
  </si>
  <si>
    <r>
      <t xml:space="preserve">Basé sur </t>
    </r>
    <r>
      <rPr>
        <b/>
        <sz val="11"/>
        <color rgb="FF000000"/>
        <rFont val="Calibri"/>
        <family val="2"/>
        <scheme val="minor"/>
      </rPr>
      <t>4 périls climatiques</t>
    </r>
    <r>
      <rPr>
        <sz val="11"/>
        <color rgb="FF000000"/>
        <rFont val="Calibri"/>
        <family val="2"/>
        <scheme val="minor"/>
      </rPr>
      <t xml:space="preserve"> :</t>
    </r>
  </si>
  <si>
    <t>Péril</t>
  </si>
  <si>
    <t>Coût moyen annuel</t>
  </si>
  <si>
    <t>Source</t>
  </si>
  <si>
    <t>Inondation</t>
  </si>
  <si>
    <t>1.05 Md€</t>
  </si>
  <si>
    <t>Données marché</t>
  </si>
  <si>
    <t>Sécheresse</t>
  </si>
  <si>
    <t>1.29 Md€</t>
  </si>
  <si>
    <t>Tempête</t>
  </si>
  <si>
    <t>0.35 Md€</t>
  </si>
  <si>
    <t>Autres (grêle, gel…)</t>
  </si>
  <si>
    <t>0.09 Md€</t>
  </si>
  <si>
    <t>Estimations</t>
  </si>
  <si>
    <t>Agrégation via racine de la somme des carrés</t>
  </si>
  <si>
    <t>Dynamique climatique des sinistres</t>
  </si>
  <si>
    <t>Les sinistres historiques suivent :</t>
  </si>
  <si>
    <t>Une loi Gamma de paramètre :</t>
  </si>
  <si>
    <t>Projection par choc de tendance selon scénario :</t>
  </si>
  <si>
    <t>Croissance annuelle sinistres</t>
  </si>
  <si>
    <t>Autres Modules SCR</t>
  </si>
  <si>
    <t>Module</t>
  </si>
  <si>
    <t>SCR Contrepartie</t>
  </si>
  <si>
    <t>0.5% des actifs à risque (approximation standard)</t>
  </si>
  <si>
    <t>SCR Vie</t>
  </si>
  <si>
    <t>1% du BEL (effet indirect climat)</t>
  </si>
  <si>
    <t>SCR Opérationnel</t>
  </si>
  <si>
    <t>3% des primes (SF standard)</t>
  </si>
  <si>
    <r>
      <t xml:space="preserve">Ces modules sont </t>
    </r>
    <r>
      <rPr>
        <b/>
        <sz val="11"/>
        <color theme="1"/>
        <rFont val="Calibri"/>
        <family val="2"/>
        <scheme val="minor"/>
      </rPr>
      <t>faibles mais non-nuls</t>
    </r>
    <r>
      <rPr>
        <sz val="11"/>
        <color theme="1"/>
        <rFont val="Calibri"/>
        <family val="2"/>
        <scheme val="minor"/>
      </rPr>
      <t xml:space="preserve"> dans un contexte non-vie</t>
    </r>
  </si>
  <si>
    <t>Agrégation du BSCR</t>
  </si>
  <si>
    <t>Corrélation appliquée (formule standard Solvabilité II) :</t>
  </si>
  <si>
    <t>où : 𝜌(𝑀,𝑁𝑉) = 25% (hypothèse prudente liée au climat)</t>
  </si>
  <si>
    <r>
      <t xml:space="preserve">L’incertitude climatique amplifie les </t>
    </r>
    <r>
      <rPr>
        <b/>
        <sz val="11"/>
        <color theme="1"/>
        <rFont val="Calibri"/>
        <family val="2"/>
        <scheme val="minor"/>
      </rPr>
      <t>corrélations</t>
    </r>
    <r>
      <rPr>
        <sz val="11"/>
        <color theme="1"/>
        <rFont val="Calibri"/>
        <family val="2"/>
        <scheme val="minor"/>
      </rPr>
      <t xml:space="preserve"> dans les scénarios sévères</t>
    </r>
  </si>
  <si>
    <t>Monte-Carlo : incertitude climatique</t>
  </si>
  <si>
    <t>Variable stressée</t>
  </si>
  <si>
    <t>Distribution</t>
  </si>
  <si>
    <t>Croissance sinistres</t>
  </si>
  <si>
    <t>Normale tronquée</t>
  </si>
  <si>
    <t>μ selon scénario / σ = 1%</t>
  </si>
  <si>
    <t>Chocs actions</t>
  </si>
  <si>
    <t>Normale</t>
  </si>
  <si>
    <t>σ = 5%</t>
  </si>
  <si>
    <t>Chocs spread</t>
  </si>
  <si>
    <t>Uniforme</t>
  </si>
  <si>
    <t>± 5% autour du stress</t>
  </si>
  <si>
    <t>Chocs taux</t>
  </si>
  <si>
    <t>σ = 0.2%</t>
  </si>
  <si>
    <t>2000 simulations → moyenne, écart-type, ±1σ avec intervalle de confiance</t>
  </si>
  <si>
    <t>ndicateur solvabilité probabiliste</t>
  </si>
  <si>
    <t>« Probabilité de solvabilité sur 5 ans : X% »</t>
  </si>
  <si>
    <t>Critère Solvabilité</t>
  </si>
  <si>
    <t>Condition</t>
  </si>
  <si>
    <t>Alerte</t>
  </si>
  <si>
    <t>BOF − BSCR ≥ 0</t>
  </si>
  <si>
    <t>BOF − BSCR &lt; 0</t>
  </si>
  <si>
    <t>Solvabilité OK</t>
  </si>
  <si>
    <t xml:space="preserve"> Solvabilité NOK (cellule rouge)</t>
  </si>
  <si>
    <t>Pilotage basé sur BSCR vs Fonds propres</t>
  </si>
  <si>
    <t>Synthèse des hypothèses</t>
  </si>
  <si>
    <t>Domaine</t>
  </si>
  <si>
    <t>Hypothèse clé</t>
  </si>
  <si>
    <t>Climat</t>
  </si>
  <si>
    <t>Inflation des sinistres selon scénario</t>
  </si>
  <si>
    <t>Marché</t>
  </si>
  <si>
    <t>Stress sur taux/spread/actions immobilier</t>
  </si>
  <si>
    <t>Modèle</t>
  </si>
  <si>
    <t>Formule Standard SF + ajout climatique</t>
  </si>
  <si>
    <t>Risque</t>
  </si>
  <si>
    <t>Simulation Monte-Carlo : incertitude intégrée</t>
  </si>
  <si>
    <t>Horizon</t>
  </si>
  <si>
    <t>5 ans conforme ORSA</t>
  </si>
  <si>
    <t>Reporting</t>
  </si>
  <si>
    <t>Détaillé par module + commentaires auto</t>
  </si>
  <si>
    <t>Conclusion</t>
  </si>
  <si>
    <t>Ce modèle reflète l’impact combiné :</t>
  </si>
  <si>
    <r>
      <t xml:space="preserve">du </t>
    </r>
    <r>
      <rPr>
        <b/>
        <sz val="11"/>
        <color theme="1"/>
        <rFont val="Calibri"/>
        <family val="2"/>
        <scheme val="minor"/>
      </rPr>
      <t>risque physique</t>
    </r>
    <r>
      <rPr>
        <sz val="11"/>
        <color theme="1"/>
        <rFont val="Calibri"/>
        <family val="2"/>
        <scheme val="minor"/>
      </rPr>
      <t xml:space="preserve"> (catastrophes naturelles)</t>
    </r>
  </si>
  <si>
    <r>
      <t xml:space="preserve">du </t>
    </r>
    <r>
      <rPr>
        <b/>
        <sz val="11"/>
        <color theme="1"/>
        <rFont val="Calibri"/>
        <family val="2"/>
        <scheme val="minor"/>
      </rPr>
      <t>risque de transition</t>
    </r>
    <r>
      <rPr>
        <sz val="11"/>
        <color theme="1"/>
        <rFont val="Calibri"/>
        <family val="2"/>
        <scheme val="minor"/>
      </rPr>
      <t xml:space="preserve"> (marchés financiers)</t>
    </r>
  </si>
  <si>
    <t xml:space="preserve"> de l’incertitude sur projections long-terme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</si>
</sst>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/>
    <xf numFmtId="0" fontId="0" fillId="0" borderId="2" xfId="0" applyBorder="1"/>
    <xf numFmtId="0" fontId="4" fillId="0" borderId="0" xfId="0" applyFont="1"/>
    <xf numFmtId="0" fontId="2" fillId="3" borderId="3" xfId="0" applyFont="1" applyFill="1" applyBorder="1"/>
    <xf numFmtId="0" fontId="2" fillId="3" borderId="4" xfId="0" applyFont="1" applyFill="1" applyBorder="1"/>
    <xf numFmtId="0" fontId="3" fillId="4" borderId="3" xfId="0" applyFont="1" applyFill="1" applyBorder="1"/>
    <xf numFmtId="0" fontId="0" fillId="4" borderId="4" xfId="0" applyFill="1" applyBorder="1"/>
    <xf numFmtId="0" fontId="3" fillId="0" borderId="3" xfId="0" applyFont="1" applyBorder="1"/>
    <xf numFmtId="0" fontId="0" fillId="0" borderId="4" xfId="0" applyBorder="1"/>
    <xf numFmtId="0" fontId="3" fillId="0" borderId="1" xfId="0" applyFont="1" applyBorder="1"/>
    <xf numFmtId="9" fontId="0" fillId="0" borderId="0" xfId="0" applyNumberFormat="1" applyAlignment="1">
      <alignment horizontal="center" vertical="center" wrapText="1"/>
    </xf>
    <xf numFmtId="0" fontId="5" fillId="0" borderId="0" xfId="0" applyFont="1"/>
    <xf numFmtId="9" fontId="0" fillId="0" borderId="0" xfId="0" applyNumberFormat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Alignment="1">
      <alignment horizontal="left"/>
    </xf>
    <xf numFmtId="43" fontId="0" fillId="0" borderId="0" xfId="1" applyFont="1"/>
    <xf numFmtId="43" fontId="0" fillId="0" borderId="0" xfId="1" applyNumberFormat="1" applyFont="1"/>
  </cellXfs>
  <cellStyles count="2">
    <cellStyle name="Milliers" xfId="1" builtinId="3"/>
    <cellStyle name="Normal" xfId="0" builtinId="0"/>
  </cellStyles>
  <dxfs count="26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Évolution du BSCR (Scénario: Modéré)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BSCR</c:v>
          </c:tx>
          <c:cat>
            <c:strRef>
              <c:f>Résultats!$A$2:$A$6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Résultats!$O$2:$O$6</c:f>
              <c:numCache>
                <c:formatCode>_(* #,##0.00_);_(* \(#,##0.00\);_(* "-"??_);_(@_)</c:formatCode>
                <c:ptCount val="5"/>
                <c:pt idx="0">
                  <c:v>7180590</c:v>
                </c:pt>
                <c:pt idx="1">
                  <c:v>7242462</c:v>
                </c:pt>
                <c:pt idx="2">
                  <c:v>7287311</c:v>
                </c:pt>
                <c:pt idx="3">
                  <c:v>7321481</c:v>
                </c:pt>
                <c:pt idx="4">
                  <c:v>7348563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D-4E1E-9463-7F9CA5FEE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569295"/>
        <c:axId val="1879572655"/>
      </c:lineChart>
      <c:catAx>
        <c:axId val="1879569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9572655"/>
        <c:crosses val="autoZero"/>
        <c:auto val="1"/>
        <c:lblAlgn val="ctr"/>
        <c:lblOffset val="100"/>
        <c:noMultiLvlLbl val="0"/>
      </c:catAx>
      <c:valAx>
        <c:axId val="1879572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Montants (€)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18795692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Monte Carlo - BSCR moyen ± 1s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BSCR moyen</c:v>
          </c:tx>
          <c:marker>
            <c:symbol val="none"/>
          </c:marker>
          <c:cat>
            <c:strRef>
              <c:f>Résultats_MC!$A$2:$A$6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Résultats_MC!$B$2:$B$6</c:f>
              <c:numCache>
                <c:formatCode>_(* #,##0.00_);_(* \(#,##0.00\);_(* "-"??_);_(@_)</c:formatCode>
                <c:ptCount val="5"/>
                <c:pt idx="0">
                  <c:v>9229596</c:v>
                </c:pt>
                <c:pt idx="1">
                  <c:v>9368950</c:v>
                </c:pt>
                <c:pt idx="2">
                  <c:v>9499509</c:v>
                </c:pt>
                <c:pt idx="3">
                  <c:v>9631366</c:v>
                </c:pt>
                <c:pt idx="4">
                  <c:v>9778520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1-42C9-B7E9-EBFD20C35823}"/>
            </c:ext>
          </c:extLst>
        </c:ser>
        <c:ser>
          <c:idx val="1"/>
          <c:order val="1"/>
          <c:tx>
            <c:v>-1 sigma</c:v>
          </c:tx>
          <c:marker>
            <c:symbol val="none"/>
          </c:marker>
          <c:val>
            <c:numRef>
              <c:f>Résultats_MC!$D$2:$D$6</c:f>
              <c:numCache>
                <c:formatCode>_(* #,##0.00_);_(* \(#,##0.00\);_(* "-"??_);_(@_)</c:formatCode>
                <c:ptCount val="5"/>
                <c:pt idx="0">
                  <c:v>9152705</c:v>
                </c:pt>
                <c:pt idx="1">
                  <c:v>9256045</c:v>
                </c:pt>
                <c:pt idx="2">
                  <c:v>9363233</c:v>
                </c:pt>
                <c:pt idx="3">
                  <c:v>9477541</c:v>
                </c:pt>
                <c:pt idx="4">
                  <c:v>9619625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1-42C9-B7E9-EBFD20C35823}"/>
            </c:ext>
          </c:extLst>
        </c:ser>
        <c:ser>
          <c:idx val="2"/>
          <c:order val="2"/>
          <c:tx>
            <c:v>+1 sigma</c:v>
          </c:tx>
          <c:marker>
            <c:symbol val="none"/>
          </c:marker>
          <c:val>
            <c:numRef>
              <c:f>Résultats_MC!$E$2:$E$6</c:f>
              <c:numCache>
                <c:formatCode>_(* #,##0.00_);_(* \(#,##0.00\);_(* "-"??_);_(@_)</c:formatCode>
                <c:ptCount val="5"/>
                <c:pt idx="0">
                  <c:v>9306488</c:v>
                </c:pt>
                <c:pt idx="1">
                  <c:v>9481854</c:v>
                </c:pt>
                <c:pt idx="2">
                  <c:v>9635786</c:v>
                </c:pt>
                <c:pt idx="3">
                  <c:v>9785191</c:v>
                </c:pt>
                <c:pt idx="4">
                  <c:v>9937416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41-42C9-B7E9-EBFD20C35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9585135"/>
        <c:axId val="1879592335"/>
      </c:lineChart>
      <c:catAx>
        <c:axId val="1879585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9592335"/>
        <c:crosses val="autoZero"/>
        <c:auto val="1"/>
        <c:lblAlgn val="ctr"/>
        <c:lblOffset val="100"/>
        <c:noMultiLvlLbl val="0"/>
      </c:catAx>
      <c:valAx>
        <c:axId val="1879592335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87958513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scénarios - BSCR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Résultats_Comparatifs!$B$1</c:f>
              <c:strCache>
                <c:ptCount val="1"/>
                <c:pt idx="0">
                  <c:v>Modéré</c:v>
                </c:pt>
              </c:strCache>
            </c:strRef>
          </c:tx>
          <c:cat>
            <c:strRef>
              <c:f>Résultats_Comparatifs!$A$2:$A$6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Résultats_Comparatifs!$B$2:$B$6</c:f>
              <c:numCache>
                <c:formatCode>_(* #,##0.00_);_(* \(#,##0.00\);_(* "-"??_);_(@_)</c:formatCode>
                <c:ptCount val="5"/>
                <c:pt idx="0">
                  <c:v>173594902</c:v>
                </c:pt>
                <c:pt idx="1">
                  <c:v>164555837</c:v>
                </c:pt>
                <c:pt idx="2">
                  <c:v>158113746</c:v>
                </c:pt>
                <c:pt idx="3">
                  <c:v>153294690</c:v>
                </c:pt>
                <c:pt idx="4">
                  <c:v>149558721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61-4873-BA19-1A643258F256}"/>
            </c:ext>
          </c:extLst>
        </c:ser>
        <c:ser>
          <c:idx val="1"/>
          <c:order val="1"/>
          <c:tx>
            <c:strRef>
              <c:f>Résultats_Comparatifs!$C$1</c:f>
              <c:strCache>
                <c:ptCount val="1"/>
                <c:pt idx="0">
                  <c:v>Sévère</c:v>
                </c:pt>
              </c:strCache>
            </c:strRef>
          </c:tx>
          <c:cat>
            <c:strRef>
              <c:f>Résultats_Comparatifs!$A$2:$A$6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Résultats_Comparatifs!$C$2:$C$6</c:f>
              <c:numCache>
                <c:formatCode>_(* #,##0.00_);_(* \(#,##0.00\);_(* "-"??_);_(@_)</c:formatCode>
                <c:ptCount val="5"/>
                <c:pt idx="0">
                  <c:v>172556227</c:v>
                </c:pt>
                <c:pt idx="1">
                  <c:v>158987672</c:v>
                </c:pt>
                <c:pt idx="2">
                  <c:v>148697025</c:v>
                </c:pt>
                <c:pt idx="3">
                  <c:v>140576304</c:v>
                </c:pt>
                <c:pt idx="4">
                  <c:v>134097065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61-4873-BA19-1A643258F256}"/>
            </c:ext>
          </c:extLst>
        </c:ser>
        <c:ser>
          <c:idx val="2"/>
          <c:order val="2"/>
          <c:tx>
            <c:strRef>
              <c:f>Résultats_Comparatifs!$D$1</c:f>
              <c:strCache>
                <c:ptCount val="1"/>
                <c:pt idx="0">
                  <c:v>Extrême</c:v>
                </c:pt>
              </c:strCache>
            </c:strRef>
          </c:tx>
          <c:cat>
            <c:strRef>
              <c:f>Résultats_Comparatifs!$A$2:$A$6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Résultats_Comparatifs!$D$2:$D$6</c:f>
              <c:numCache>
                <c:formatCode>_(* #,##0.00_);_(* \(#,##0.00\);_(* "-"??_);_(@_)</c:formatCode>
                <c:ptCount val="5"/>
                <c:pt idx="0">
                  <c:v>174502980</c:v>
                </c:pt>
                <c:pt idx="1">
                  <c:v>156001408</c:v>
                </c:pt>
                <c:pt idx="2">
                  <c:v>142284353</c:v>
                </c:pt>
                <c:pt idx="3">
                  <c:v>132789286</c:v>
                </c:pt>
                <c:pt idx="4">
                  <c:v>130841957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61-4873-BA19-1A643258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567375"/>
        <c:axId val="1879560175"/>
      </c:lineChart>
      <c:catAx>
        <c:axId val="1879567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9560175"/>
        <c:crosses val="autoZero"/>
        <c:auto val="1"/>
        <c:lblAlgn val="ctr"/>
        <c:lblOffset val="100"/>
        <c:noMultiLvlLbl val="0"/>
      </c:catAx>
      <c:valAx>
        <c:axId val="1879560175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87956737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scénarios - BSCR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Résultats!$B$1</c:f>
              <c:strCache>
                <c:ptCount val="1"/>
                <c:pt idx="0">
                  <c:v>SCR_Taux</c:v>
                </c:pt>
              </c:strCache>
            </c:strRef>
          </c:tx>
          <c:cat>
            <c:strRef>
              <c:f>Résultats!$A$2:$A$6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Résultats!$B$2:$B$6</c:f>
              <c:numCache>
                <c:formatCode>_(* #,##0.00_);_(* \(#,##0.00\);_(* "-"??_);_(@_)</c:formatCode>
                <c:ptCount val="5"/>
                <c:pt idx="0">
                  <c:v>1465150</c:v>
                </c:pt>
                <c:pt idx="1">
                  <c:v>1428331</c:v>
                </c:pt>
                <c:pt idx="2">
                  <c:v>1385001</c:v>
                </c:pt>
                <c:pt idx="3">
                  <c:v>1336510</c:v>
                </c:pt>
                <c:pt idx="4">
                  <c:v>1283556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2-4135-BD29-1A0E38D676A2}"/>
            </c:ext>
          </c:extLst>
        </c:ser>
        <c:ser>
          <c:idx val="1"/>
          <c:order val="1"/>
          <c:tx>
            <c:strRef>
              <c:f>Résultats!$C$1</c:f>
              <c:strCache>
                <c:ptCount val="1"/>
                <c:pt idx="0">
                  <c:v>SCR_Actions</c:v>
                </c:pt>
              </c:strCache>
            </c:strRef>
          </c:tx>
          <c:cat>
            <c:strRef>
              <c:f>Résultats!$A$2:$A$6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Résultats!$C$2:$C$6</c:f>
              <c:numCache>
                <c:formatCode>_(* #,##0.00_);_(* \(#,##0.00\);_(* "-"??_);_(@_)</c:formatCode>
                <c:ptCount val="5"/>
                <c:pt idx="0">
                  <c:v>450021</c:v>
                </c:pt>
                <c:pt idx="1">
                  <c:v>460613</c:v>
                </c:pt>
                <c:pt idx="2">
                  <c:v>470380</c:v>
                </c:pt>
                <c:pt idx="3">
                  <c:v>479689</c:v>
                </c:pt>
                <c:pt idx="4">
                  <c:v>488745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2-4135-BD29-1A0E38D676A2}"/>
            </c:ext>
          </c:extLst>
        </c:ser>
        <c:ser>
          <c:idx val="2"/>
          <c:order val="2"/>
          <c:tx>
            <c:strRef>
              <c:f>Résultats!$D$1</c:f>
              <c:strCache>
                <c:ptCount val="1"/>
                <c:pt idx="0">
                  <c:v>SCR_Spread</c:v>
                </c:pt>
              </c:strCache>
            </c:strRef>
          </c:tx>
          <c:cat>
            <c:strRef>
              <c:f>Résultats!$A$2:$A$6</c:f>
              <c:strCache>
                <c:ptCount val="5"/>
                <c:pt idx="0">
                  <c:v>N+0</c:v>
                </c:pt>
                <c:pt idx="1">
                  <c:v>N+1</c:v>
                </c:pt>
                <c:pt idx="2">
                  <c:v>N+2</c:v>
                </c:pt>
                <c:pt idx="3">
                  <c:v>N+3</c:v>
                </c:pt>
                <c:pt idx="4">
                  <c:v>N+4</c:v>
                </c:pt>
              </c:strCache>
            </c:strRef>
          </c:cat>
          <c:val>
            <c:numRef>
              <c:f>Résultats!$D$2:$D$6</c:f>
              <c:numCache>
                <c:formatCode>_(* #,##0.00_);_(* \(#,##0.00\);_(* "-"??_);_(@_)</c:formatCode>
                <c:ptCount val="5"/>
                <c:pt idx="0">
                  <c:v>2853807</c:v>
                </c:pt>
                <c:pt idx="1">
                  <c:v>2811476</c:v>
                </c:pt>
                <c:pt idx="2">
                  <c:v>2758265</c:v>
                </c:pt>
                <c:pt idx="3">
                  <c:v>2696759</c:v>
                </c:pt>
                <c:pt idx="4">
                  <c:v>2628325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2-4135-BD29-1A0E38D6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208543"/>
        <c:axId val="1968204703"/>
      </c:lineChart>
      <c:catAx>
        <c:axId val="1968208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8204703"/>
        <c:crosses val="autoZero"/>
        <c:auto val="1"/>
        <c:lblAlgn val="ctr"/>
        <c:lblOffset val="100"/>
        <c:noMultiLvlLbl val="0"/>
      </c:catAx>
      <c:valAx>
        <c:axId val="1968204703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968208543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2</xdr:row>
      <xdr:rowOff>142240</xdr:rowOff>
    </xdr:from>
    <xdr:to>
      <xdr:col>10</xdr:col>
      <xdr:colOff>457200</xdr:colOff>
      <xdr:row>25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639BEEB-E0D2-A6F5-E98D-7831BDC2C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762000</xdr:colOff>
      <xdr:row>26</xdr:row>
      <xdr:rowOff>71120</xdr:rowOff>
    </xdr:from>
    <xdr:to>
      <xdr:col>10</xdr:col>
      <xdr:colOff>457200</xdr:colOff>
      <xdr:row>44</xdr:row>
      <xdr:rowOff>81280</xdr:rowOff>
    </xdr:to>
    <xdr:graphicFrame macro="">
      <xdr:nvGraphicFramePr>
        <xdr:cNvPr id="10" name="GraphMC">
          <a:extLst>
            <a:ext uri="{FF2B5EF4-FFF2-40B4-BE49-F238E27FC236}">
              <a16:creationId xmlns:a16="http://schemas.microsoft.com/office/drawing/2014/main" id="{6F0E776B-CD7A-1078-2B7D-F3407CA3C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</xdr:row>
      <xdr:rowOff>71120</xdr:rowOff>
    </xdr:from>
    <xdr:to>
      <xdr:col>14</xdr:col>
      <xdr:colOff>335280</xdr:colOff>
      <xdr:row>23</xdr:row>
      <xdr:rowOff>111760</xdr:rowOff>
    </xdr:to>
    <xdr:graphicFrame macro="">
      <xdr:nvGraphicFramePr>
        <xdr:cNvPr id="4" name="GraphBSCR">
          <a:extLst>
            <a:ext uri="{FF2B5EF4-FFF2-40B4-BE49-F238E27FC236}">
              <a16:creationId xmlns:a16="http://schemas.microsoft.com/office/drawing/2014/main" id="{9991229B-127E-8827-5723-36B2C7205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3</xdr:row>
      <xdr:rowOff>86360</xdr:rowOff>
    </xdr:from>
    <xdr:to>
      <xdr:col>9</xdr:col>
      <xdr:colOff>106680</xdr:colOff>
      <xdr:row>25</xdr:row>
      <xdr:rowOff>127000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7E7EA0E-A733-1BF2-CACE-66A684834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167640</xdr:colOff>
      <xdr:row>39</xdr:row>
      <xdr:rowOff>95250</xdr:rowOff>
    </xdr:from>
    <xdr:ext cx="961289" cy="344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C2053508-2036-4781-3F07-BCA59DB8411B}"/>
                </a:ext>
              </a:extLst>
            </xdr:cNvPr>
            <xdr:cNvSpPr txBox="1"/>
          </xdr:nvSpPr>
          <xdr:spPr>
            <a:xfrm>
              <a:off x="12283440" y="7966710"/>
              <a:ext cx="961289" cy="344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r>
                      <a:rPr lang="fr-FR" sz="110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𝜇</m:t>
                            </m:r>
                          </m:e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ar-AE" sz="110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a:rPr lang="ar-AE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𝛽</m:t>
                    </m:r>
                    <m:r>
                      <a:rPr lang="ar-AE" sz="110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𝜇</m:t>
                        </m:r>
                      </m:num>
                      <m:den>
                        <m:sSup>
                          <m:s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C2053508-2036-4781-3F07-BCA59DB8411B}"/>
                </a:ext>
              </a:extLst>
            </xdr:cNvPr>
            <xdr:cNvSpPr txBox="1"/>
          </xdr:nvSpPr>
          <xdr:spPr>
            <a:xfrm>
              <a:off x="12283440" y="7966710"/>
              <a:ext cx="961289" cy="344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𝛼=</a:t>
              </a:r>
              <a:r>
                <a:rPr lang="ar-A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𝜇^2/𝜎^2 , 𝛽=𝜇/𝜎^2 </a:t>
              </a:r>
              <a:endParaRPr lang="fr-FR" sz="1100"/>
            </a:p>
          </xdr:txBody>
        </xdr:sp>
      </mc:Fallback>
    </mc:AlternateContent>
    <xdr:clientData/>
  </xdr:oneCellAnchor>
  <xdr:oneCellAnchor>
    <xdr:from>
      <xdr:col>0</xdr:col>
      <xdr:colOff>739140</xdr:colOff>
      <xdr:row>59</xdr:row>
      <xdr:rowOff>57150</xdr:rowOff>
    </xdr:from>
    <xdr:ext cx="4738670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9BECA3C3-B007-AB21-F2B8-84A5C5C094F4}"/>
                </a:ext>
              </a:extLst>
            </xdr:cNvPr>
            <xdr:cNvSpPr txBox="1"/>
          </xdr:nvSpPr>
          <xdr:spPr>
            <a:xfrm>
              <a:off x="10134600" y="11586210"/>
              <a:ext cx="473867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𝐵𝑆𝐶𝑅</m:t>
                    </m:r>
                    <m:r>
                      <a:rPr lang="fr-FR" sz="110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ad>
                      <m:radPr>
                        <m:degHide m:val="on"/>
                        <m:ctrlP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Sup>
                          <m:sSub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Sup>
                          <m:sSub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𝑁𝑉</m:t>
                            </m:r>
                          </m:sub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Sup>
                          <m:sSub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sub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Sup>
                          <m:sSub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sub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Sup>
                          <m:sSubSup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</m:t>
                            </m:r>
                          </m:sub>
                          <m:sup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⋅</m:t>
                        </m:r>
                        <m:sSub>
                          <m:sSub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𝜌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  <m:r>
                              <a:rPr lang="ar-AE" sz="110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𝑁𝑉</m:t>
                            </m:r>
                          </m:sub>
                        </m:sSub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⋅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>
                          <m:sSub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ar-AE" sz="110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⋅</m:t>
                        </m:r>
                        <m:r>
                          <a:rPr lang="ar-A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𝑆𝐶</m:t>
                        </m:r>
                        <m:sSub>
                          <m:sSubPr>
                            <m:ctrlP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ar-A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𝑁𝑉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9BECA3C3-B007-AB21-F2B8-84A5C5C094F4}"/>
                </a:ext>
              </a:extLst>
            </xdr:cNvPr>
            <xdr:cNvSpPr txBox="1"/>
          </xdr:nvSpPr>
          <xdr:spPr>
            <a:xfrm>
              <a:off x="10134600" y="11586210"/>
              <a:ext cx="473867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F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𝐵𝑆𝐶𝑅=</a:t>
              </a:r>
              <a:r>
                <a:rPr lang="ar-A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√(𝑆𝐶𝑅_𝑀^2+𝑆𝐶𝑅_𝑁𝑉^2+𝑆𝐶𝑅_𝐶^2+𝑆𝐶𝑅_𝑉^2+𝑆𝐶𝑅_𝑂^2+2⋅𝜌_(𝑀,𝑁𝑉)⋅𝑆𝐶𝑅_𝑀⋅𝑆𝐶𝑅_𝑁𝑉 )</a:t>
              </a:r>
              <a:endParaRPr lang="fr-FR" sz="1100"/>
            </a:p>
          </xdr:txBody>
        </xdr:sp>
      </mc:Fallback>
    </mc:AlternateContent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66A198-AE27-4CBB-9DA7-4B831599FFEB}" name="Tableau5" displayName="Tableau5" ref="B14:C18" totalsRowShown="0" headerRowDxfId="25" dataDxfId="24">
  <autoFilter ref="B14:C18" xr:uid="{2566A198-AE27-4CBB-9DA7-4B831599FFEB}"/>
  <tableColumns count="2">
    <tableColumn id="1" xr3:uid="{17D7869B-1A8C-4E2E-8908-F68133288CAC}" name="Sous-module" dataDxfId="23"/>
    <tableColumn id="2" xr3:uid="{0E97639A-DCD4-42D8-BFE8-167C3B3EB406}" name="Hypothèse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B396BD-A3BC-4D1C-ACD6-F5BB0739E55D}" name="Tableau6" displayName="Tableau6" ref="B22:F25" totalsRowShown="0" headerRowDxfId="21" dataDxfId="20">
  <autoFilter ref="B22:F25" xr:uid="{FBB396BD-A3BC-4D1C-ACD6-F5BB0739E55D}"/>
  <tableColumns count="5">
    <tableColumn id="1" xr3:uid="{A6293021-FB82-4760-95FC-8A241C086BC9}" name="Scénario" dataDxfId="19"/>
    <tableColumn id="2" xr3:uid="{2E2BD455-8A35-44B2-90AD-4FB7B8189E52}" name="Taux" dataDxfId="18"/>
    <tableColumn id="3" xr3:uid="{5FB480C6-B896-4203-89DA-0565F1D0D71A}" name="Spread" dataDxfId="17"/>
    <tableColumn id="4" xr3:uid="{C3D27F54-72CF-4D4D-8040-7CC5EBAE72D3}" name="Actions" dataDxfId="16"/>
    <tableColumn id="5" xr3:uid="{4F3CB6B0-614B-49C2-A9FE-916CEDF3085B}" name="Immobilier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E794BA-CCC1-436A-BC14-302BB762BD98}" name="Tableau7" displayName="Tableau7" ref="B32:D36" totalsRowShown="0">
  <autoFilter ref="B32:D36" xr:uid="{DBE794BA-CCC1-436A-BC14-302BB762BD98}"/>
  <tableColumns count="3">
    <tableColumn id="1" xr3:uid="{FD160D50-6C25-4CA2-88DB-687020C53006}" name="Péril"/>
    <tableColumn id="2" xr3:uid="{D6C6B9B1-4BB9-417E-A2F3-B0D38B6E3C30}" name="Coût moyen annuel" dataDxfId="14"/>
    <tableColumn id="3" xr3:uid="{B5AB7D5A-86A6-4CE8-A111-6BD1DBAAEDA3}" name="Sour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AAC322-1CC7-4F7B-A9D7-A946A6064F2C}" name="Tableau8" displayName="Tableau8" ref="B44:C47" totalsRowShown="0">
  <autoFilter ref="B44:C47" xr:uid="{6FAAC322-1CC7-4F7B-A9D7-A946A6064F2C}"/>
  <tableColumns count="2">
    <tableColumn id="1" xr3:uid="{240D08BC-97A9-4C2A-B909-088FE4DB77D3}" name="Scénario"/>
    <tableColumn id="2" xr3:uid="{B0E67BA3-D0B9-4879-8FFB-F5922B73A524}" name="Croissance annuelle sinistres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9FE67C8-AD0B-493B-BFC6-E3D74024467B}" name="Tableau9" displayName="Tableau9" ref="B51:C54" totalsRowShown="0">
  <autoFilter ref="B51:C54" xr:uid="{E9FE67C8-AD0B-493B-BFC6-E3D74024467B}"/>
  <tableColumns count="2">
    <tableColumn id="1" xr3:uid="{F7DC831A-93EC-44D4-8442-87BA104C2E41}" name="Module"/>
    <tableColumn id="2" xr3:uid="{B5F23FBC-838F-401D-AD65-1A1579B2E024}" name="Hypothès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1BA023C-C2E6-4A58-9C5F-0E026345B432}" name="Tableau10" displayName="Tableau10" ref="B68:D72" totalsRowShown="0" headerRowDxfId="12" dataDxfId="11">
  <autoFilter ref="B68:D72" xr:uid="{81BA023C-C2E6-4A58-9C5F-0E026345B432}"/>
  <tableColumns count="3">
    <tableColumn id="1" xr3:uid="{AA033EE9-AC77-4917-9A12-CDBD1E9A09EF}" name="Variable stressée" dataDxfId="10"/>
    <tableColumn id="2" xr3:uid="{ACD6D5FB-BC90-47BA-8D27-DCF96B4E14E8}" name="Distribution" dataDxfId="9"/>
    <tableColumn id="3" xr3:uid="{C18247E5-6E21-4693-8EA5-4D4FEA8E7C82}" name="Paramètres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230103-A1C0-4E93-9D29-24E6BE4D75AA}" name="Tableau11" displayName="Tableau11" ref="B78:C80" totalsRowShown="0" headerRowDxfId="7" dataDxfId="6">
  <autoFilter ref="B78:C80" xr:uid="{1D230103-A1C0-4E93-9D29-24E6BE4D75AA}"/>
  <tableColumns count="2">
    <tableColumn id="1" xr3:uid="{4C447EF5-35EF-49AC-9E4D-4F7BBE04FB56}" name="Condition" dataDxfId="5"/>
    <tableColumn id="2" xr3:uid="{C153F6A4-23D6-42F4-8E57-14CACB0D517B}" name="Alerte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1C2F26-ABCA-4EFE-94C3-5E08F0D28A49}" name="Tableau12" displayName="Tableau12" ref="B85:C91" totalsRowShown="0" headerRowDxfId="3" dataDxfId="2">
  <autoFilter ref="B85:C91" xr:uid="{1A1C2F26-ABCA-4EFE-94C3-5E08F0D28A49}"/>
  <tableColumns count="2">
    <tableColumn id="1" xr3:uid="{D269419E-E68C-48DD-BC50-542AD8D22801}" name="Domaine" dataDxfId="1"/>
    <tableColumn id="2" xr3:uid="{9A74F701-C1E5-470A-8E5B-EF5CBCCCF2F0}" name="Hypothèse cl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13776-9F55-4010-B5D2-D1E99432C2B9}">
  <sheetPr codeName="Feuil1"/>
  <dimension ref="A1:B12"/>
  <sheetViews>
    <sheetView workbookViewId="0">
      <selection activeCell="B3" sqref="B3"/>
    </sheetView>
  </sheetViews>
  <sheetFormatPr baseColWidth="10" defaultRowHeight="14.4" x14ac:dyDescent="0.3"/>
  <cols>
    <col min="1" max="1" width="20.33203125" customWidth="1"/>
    <col min="2" max="2" width="16.109375" customWidth="1"/>
  </cols>
  <sheetData>
    <row r="1" spans="1:2" x14ac:dyDescent="0.3">
      <c r="A1" s="22" t="s">
        <v>11</v>
      </c>
      <c r="B1" s="22"/>
    </row>
    <row r="2" spans="1:2" x14ac:dyDescent="0.3">
      <c r="A2" s="1" t="s">
        <v>0</v>
      </c>
      <c r="B2" s="2">
        <v>50000000</v>
      </c>
    </row>
    <row r="3" spans="1:2" x14ac:dyDescent="0.3">
      <c r="A3" s="1" t="s">
        <v>7</v>
      </c>
      <c r="B3" s="2">
        <v>42000000</v>
      </c>
    </row>
    <row r="4" spans="1:2" x14ac:dyDescent="0.3">
      <c r="A4" s="1" t="s">
        <v>8</v>
      </c>
      <c r="B4" s="2">
        <v>5000000</v>
      </c>
    </row>
    <row r="5" spans="1:2" x14ac:dyDescent="0.3">
      <c r="A5" s="1" t="s">
        <v>9</v>
      </c>
      <c r="B5" s="2">
        <v>2</v>
      </c>
    </row>
    <row r="6" spans="1:2" x14ac:dyDescent="0.3">
      <c r="A6" s="1" t="s">
        <v>1</v>
      </c>
      <c r="B6" t="s">
        <v>14</v>
      </c>
    </row>
    <row r="7" spans="1:2" x14ac:dyDescent="0.3">
      <c r="A7" s="21" t="s">
        <v>10</v>
      </c>
      <c r="B7" s="21"/>
    </row>
    <row r="8" spans="1:2" x14ac:dyDescent="0.3">
      <c r="A8" s="1" t="s">
        <v>2</v>
      </c>
      <c r="B8" s="2">
        <v>1600000</v>
      </c>
    </row>
    <row r="9" spans="1:2" x14ac:dyDescent="0.3">
      <c r="A9" s="1" t="s">
        <v>3</v>
      </c>
      <c r="B9" s="2">
        <v>1500000</v>
      </c>
    </row>
    <row r="10" spans="1:2" x14ac:dyDescent="0.3">
      <c r="A10" s="1" t="s">
        <v>4</v>
      </c>
      <c r="B10" s="2">
        <v>250000</v>
      </c>
    </row>
    <row r="11" spans="1:2" x14ac:dyDescent="0.3">
      <c r="A11" s="1" t="s">
        <v>5</v>
      </c>
      <c r="B11" s="2">
        <v>1640000</v>
      </c>
    </row>
    <row r="12" spans="1:2" x14ac:dyDescent="0.3">
      <c r="A12" s="1" t="s">
        <v>6</v>
      </c>
      <c r="B12" s="2">
        <v>1420555</v>
      </c>
    </row>
  </sheetData>
  <mergeCells count="2">
    <mergeCell ref="A7:B7"/>
    <mergeCell ref="A1:B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AF5A6-79A7-4E55-A30D-D4DB3165E47B}">
  <sheetPr codeName="Feuil2"/>
  <dimension ref="A1:T7"/>
  <sheetViews>
    <sheetView topLeftCell="D1" workbookViewId="0">
      <selection activeCell="B2" sqref="B2"/>
    </sheetView>
  </sheetViews>
  <sheetFormatPr baseColWidth="10" defaultRowHeight="14.4" x14ac:dyDescent="0.3"/>
  <cols>
    <col min="1" max="1" width="6.109375" bestFit="1" customWidth="1"/>
    <col min="2" max="2" width="12.6640625" bestFit="1" customWidth="1"/>
    <col min="3" max="3" width="11.21875" bestFit="1" customWidth="1"/>
    <col min="4" max="4" width="12.6640625" bestFit="1" customWidth="1"/>
    <col min="5" max="5" width="11.21875" bestFit="1" customWidth="1"/>
    <col min="6" max="8" width="12.6640625" bestFit="1" customWidth="1"/>
    <col min="9" max="10" width="11.21875" bestFit="1" customWidth="1"/>
    <col min="11" max="11" width="12.6640625" bestFit="1" customWidth="1"/>
    <col min="12" max="12" width="11.21875" bestFit="1" customWidth="1"/>
    <col min="13" max="13" width="10.21875" bestFit="1" customWidth="1"/>
    <col min="14" max="14" width="11.21875" bestFit="1" customWidth="1"/>
    <col min="15" max="15" width="12.6640625" bestFit="1" customWidth="1"/>
    <col min="16" max="16" width="18.33203125" customWidth="1"/>
    <col min="17" max="17" width="30.77734375" customWidth="1"/>
    <col min="18" max="18" width="12.6640625" bestFit="1" customWidth="1"/>
    <col min="19" max="19" width="10.77734375" customWidth="1"/>
  </cols>
  <sheetData>
    <row r="1" spans="1:20" x14ac:dyDescent="0.3">
      <c r="A1" t="s">
        <v>12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e">
        <v>#N/A</v>
      </c>
      <c r="Q1" t="s">
        <v>35</v>
      </c>
      <c r="R1" t="s">
        <v>14</v>
      </c>
      <c r="S1" t="e">
        <v>#N/A</v>
      </c>
      <c r="T1" t="e">
        <v>#N/A</v>
      </c>
    </row>
    <row r="2" spans="1:20" x14ac:dyDescent="0.3">
      <c r="A2" t="s">
        <v>30</v>
      </c>
      <c r="B2" s="28">
        <v>1465150</v>
      </c>
      <c r="C2" s="28">
        <v>450021</v>
      </c>
      <c r="D2" s="28">
        <v>2853807</v>
      </c>
      <c r="E2" s="28">
        <v>96158</v>
      </c>
      <c r="F2" s="28">
        <v>3610632</v>
      </c>
      <c r="G2" s="28">
        <v>1411984</v>
      </c>
      <c r="H2" s="28">
        <v>1734724</v>
      </c>
      <c r="I2" s="28">
        <v>470661</v>
      </c>
      <c r="J2" s="28">
        <v>121027</v>
      </c>
      <c r="K2" s="28">
        <v>4924369</v>
      </c>
      <c r="L2" s="28">
        <v>100165</v>
      </c>
      <c r="M2" s="28">
        <v>31973</v>
      </c>
      <c r="N2" s="28">
        <v>915935</v>
      </c>
      <c r="O2" s="28">
        <v>7180590</v>
      </c>
      <c r="Q2" t="s">
        <v>36</v>
      </c>
      <c r="R2" s="28">
        <v>6962177.455874756</v>
      </c>
    </row>
    <row r="3" spans="1:20" x14ac:dyDescent="0.3">
      <c r="A3" t="s">
        <v>31</v>
      </c>
      <c r="B3" s="28">
        <v>1428331</v>
      </c>
      <c r="C3" s="28">
        <v>460613</v>
      </c>
      <c r="D3" s="28">
        <v>2811476</v>
      </c>
      <c r="E3" s="28">
        <v>98422</v>
      </c>
      <c r="F3" s="28">
        <v>3552297</v>
      </c>
      <c r="G3" s="28">
        <v>1445218</v>
      </c>
      <c r="H3" s="28">
        <v>1775553</v>
      </c>
      <c r="I3" s="28">
        <v>481739</v>
      </c>
      <c r="J3" s="28">
        <v>123876</v>
      </c>
      <c r="K3" s="28">
        <v>5040273</v>
      </c>
      <c r="L3" s="28">
        <v>102522</v>
      </c>
      <c r="M3" s="28">
        <v>31003</v>
      </c>
      <c r="N3" s="28">
        <v>924944</v>
      </c>
      <c r="O3" s="28">
        <v>7242462</v>
      </c>
      <c r="Q3" t="s">
        <v>37</v>
      </c>
      <c r="R3" s="28">
        <v>7348563</v>
      </c>
    </row>
    <row r="4" spans="1:20" x14ac:dyDescent="0.3">
      <c r="A4" t="s">
        <v>32</v>
      </c>
      <c r="B4" s="28">
        <v>1385001</v>
      </c>
      <c r="C4" s="28">
        <v>470380</v>
      </c>
      <c r="D4" s="28">
        <v>2758265</v>
      </c>
      <c r="E4" s="28">
        <v>100509</v>
      </c>
      <c r="F4" s="28">
        <v>3479989</v>
      </c>
      <c r="G4" s="28">
        <v>1475862</v>
      </c>
      <c r="H4" s="28">
        <v>1813202</v>
      </c>
      <c r="I4" s="28">
        <v>491954</v>
      </c>
      <c r="J4" s="28">
        <v>126502</v>
      </c>
      <c r="K4" s="28">
        <v>5147146</v>
      </c>
      <c r="L4" s="28">
        <v>104696</v>
      </c>
      <c r="M4" s="28">
        <v>29901</v>
      </c>
      <c r="N4" s="28">
        <v>931975</v>
      </c>
      <c r="O4" s="28">
        <v>7287311</v>
      </c>
      <c r="Q4" t="s">
        <v>38</v>
      </c>
      <c r="R4" s="3" t="s">
        <v>39</v>
      </c>
    </row>
    <row r="5" spans="1:20" x14ac:dyDescent="0.3">
      <c r="A5" t="s">
        <v>33</v>
      </c>
      <c r="B5" s="28">
        <v>1336510</v>
      </c>
      <c r="C5" s="28">
        <v>479689</v>
      </c>
      <c r="D5" s="28">
        <v>2696759</v>
      </c>
      <c r="E5" s="28">
        <v>102498</v>
      </c>
      <c r="F5" s="28">
        <v>3397015</v>
      </c>
      <c r="G5" s="28">
        <v>1505069</v>
      </c>
      <c r="H5" s="28">
        <v>1849085</v>
      </c>
      <c r="I5" s="28">
        <v>501690</v>
      </c>
      <c r="J5" s="28">
        <v>129006</v>
      </c>
      <c r="K5" s="28">
        <v>5249008</v>
      </c>
      <c r="L5" s="28">
        <v>106768</v>
      </c>
      <c r="M5" s="28">
        <v>28699</v>
      </c>
      <c r="N5" s="28">
        <v>937851</v>
      </c>
      <c r="O5" s="28">
        <v>7321481</v>
      </c>
    </row>
    <row r="6" spans="1:20" x14ac:dyDescent="0.3">
      <c r="A6" t="s">
        <v>34</v>
      </c>
      <c r="B6" s="28">
        <v>1283556</v>
      </c>
      <c r="C6" s="28">
        <v>488745</v>
      </c>
      <c r="D6" s="28">
        <v>2628325</v>
      </c>
      <c r="E6" s="28">
        <v>104433</v>
      </c>
      <c r="F6" s="28">
        <v>3305134</v>
      </c>
      <c r="G6" s="28">
        <v>1533484</v>
      </c>
      <c r="H6" s="28">
        <v>1883995</v>
      </c>
      <c r="I6" s="28">
        <v>511161</v>
      </c>
      <c r="J6" s="28">
        <v>131442</v>
      </c>
      <c r="K6" s="28">
        <v>5348107</v>
      </c>
      <c r="L6" s="28">
        <v>108784</v>
      </c>
      <c r="M6" s="28">
        <v>27414</v>
      </c>
      <c r="N6" s="28">
        <v>943048</v>
      </c>
      <c r="O6" s="28">
        <v>7348563</v>
      </c>
      <c r="Q6" t="s">
        <v>40</v>
      </c>
    </row>
    <row r="7" spans="1:20" x14ac:dyDescent="0.3">
      <c r="Q7" t="s">
        <v>41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7FAF6-952B-4C7A-8AD7-C971540DB9B2}">
  <sheetPr codeName="Feuil3"/>
  <dimension ref="A1"/>
  <sheetViews>
    <sheetView topLeftCell="A28" workbookViewId="0">
      <selection activeCell="C11" sqref="C11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497A2-A552-4CF9-8681-AC0B986FB026}">
  <sheetPr codeName="Feuil6"/>
  <dimension ref="A1:D6"/>
  <sheetViews>
    <sheetView workbookViewId="0">
      <selection activeCell="D2" sqref="D2"/>
    </sheetView>
  </sheetViews>
  <sheetFormatPr baseColWidth="10" defaultRowHeight="14.4" x14ac:dyDescent="0.3"/>
  <cols>
    <col min="2" max="4" width="14.6640625" bestFit="1" customWidth="1"/>
  </cols>
  <sheetData>
    <row r="1" spans="1:4" x14ac:dyDescent="0.3">
      <c r="A1" t="s">
        <v>12</v>
      </c>
      <c r="B1" t="s">
        <v>14</v>
      </c>
      <c r="C1" t="s">
        <v>15</v>
      </c>
      <c r="D1" t="s">
        <v>13</v>
      </c>
    </row>
    <row r="2" spans="1:4" x14ac:dyDescent="0.3">
      <c r="A2" t="s">
        <v>30</v>
      </c>
      <c r="B2" s="29">
        <v>173594902</v>
      </c>
      <c r="C2" s="29">
        <v>172556227</v>
      </c>
      <c r="D2" s="29">
        <v>174502980</v>
      </c>
    </row>
    <row r="3" spans="1:4" x14ac:dyDescent="0.3">
      <c r="A3" t="s">
        <v>31</v>
      </c>
      <c r="B3" s="29">
        <v>164555837</v>
      </c>
      <c r="C3" s="29">
        <v>158987672</v>
      </c>
      <c r="D3" s="29">
        <v>156001408</v>
      </c>
    </row>
    <row r="4" spans="1:4" x14ac:dyDescent="0.3">
      <c r="A4" t="s">
        <v>32</v>
      </c>
      <c r="B4" s="29">
        <v>158113746</v>
      </c>
      <c r="C4" s="29">
        <v>148697025</v>
      </c>
      <c r="D4" s="29">
        <v>142284353</v>
      </c>
    </row>
    <row r="5" spans="1:4" x14ac:dyDescent="0.3">
      <c r="A5" t="s">
        <v>33</v>
      </c>
      <c r="B5" s="29">
        <v>153294690</v>
      </c>
      <c r="C5" s="29">
        <v>140576304</v>
      </c>
      <c r="D5" s="29">
        <v>132789286</v>
      </c>
    </row>
    <row r="6" spans="1:4" x14ac:dyDescent="0.3">
      <c r="A6" t="s">
        <v>34</v>
      </c>
      <c r="B6" s="29">
        <v>149558721</v>
      </c>
      <c r="C6" s="29">
        <v>134097065</v>
      </c>
      <c r="D6" s="29">
        <v>130841957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84A0-EBA1-41AE-9841-7706282AB2A4}">
  <sheetPr codeName="Feuil7"/>
  <dimension ref="A1:E6"/>
  <sheetViews>
    <sheetView workbookViewId="0">
      <selection activeCell="G7" sqref="G7"/>
    </sheetView>
  </sheetViews>
  <sheetFormatPr baseColWidth="10" defaultRowHeight="14.4" x14ac:dyDescent="0.3"/>
  <cols>
    <col min="1" max="1" width="6.109375" bestFit="1" customWidth="1"/>
    <col min="2" max="2" width="12.6640625" bestFit="1" customWidth="1"/>
    <col min="3" max="3" width="11.21875" bestFit="1" customWidth="1"/>
    <col min="4" max="4" width="16.88671875" bestFit="1" customWidth="1"/>
    <col min="5" max="5" width="15.21875" bestFit="1" customWidth="1"/>
  </cols>
  <sheetData>
    <row r="1" spans="1:5" x14ac:dyDescent="0.3">
      <c r="A1" t="s">
        <v>12</v>
      </c>
      <c r="B1" t="s">
        <v>42</v>
      </c>
      <c r="C1" t="s">
        <v>43</v>
      </c>
      <c r="D1" t="s">
        <v>44</v>
      </c>
      <c r="E1" t="s">
        <v>45</v>
      </c>
    </row>
    <row r="2" spans="1:5" x14ac:dyDescent="0.3">
      <c r="A2" t="s">
        <v>30</v>
      </c>
      <c r="B2" s="28">
        <v>9229596</v>
      </c>
      <c r="C2" s="28">
        <v>76892</v>
      </c>
      <c r="D2" s="28">
        <v>9152705</v>
      </c>
      <c r="E2" s="28">
        <v>9306488</v>
      </c>
    </row>
    <row r="3" spans="1:5" x14ac:dyDescent="0.3">
      <c r="A3" t="s">
        <v>31</v>
      </c>
      <c r="B3" s="28">
        <v>9368950</v>
      </c>
      <c r="C3" s="28">
        <v>112905</v>
      </c>
      <c r="D3" s="28">
        <v>9256045</v>
      </c>
      <c r="E3" s="28">
        <v>9481854</v>
      </c>
    </row>
    <row r="4" spans="1:5" x14ac:dyDescent="0.3">
      <c r="A4" t="s">
        <v>32</v>
      </c>
      <c r="B4" s="28">
        <v>9499509</v>
      </c>
      <c r="C4" s="28">
        <v>136277</v>
      </c>
      <c r="D4" s="28">
        <v>9363233</v>
      </c>
      <c r="E4" s="28">
        <v>9635786</v>
      </c>
    </row>
    <row r="5" spans="1:5" x14ac:dyDescent="0.3">
      <c r="A5" t="s">
        <v>33</v>
      </c>
      <c r="B5" s="28">
        <v>9631366</v>
      </c>
      <c r="C5" s="28">
        <v>153825</v>
      </c>
      <c r="D5" s="28">
        <v>9477541</v>
      </c>
      <c r="E5" s="28">
        <v>9785191</v>
      </c>
    </row>
    <row r="6" spans="1:5" x14ac:dyDescent="0.3">
      <c r="A6" t="s">
        <v>34</v>
      </c>
      <c r="B6" s="28">
        <v>9778520</v>
      </c>
      <c r="C6" s="28">
        <v>158895</v>
      </c>
      <c r="D6" s="28">
        <v>9619625</v>
      </c>
      <c r="E6" s="28">
        <v>9937416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DCDBA-7588-418B-AF6C-A64F39897F99}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DC417-DE2A-41E6-84A1-AEF96AFDC051}">
  <sheetPr codeName="Feuil4"/>
  <dimension ref="B2:F98"/>
  <sheetViews>
    <sheetView showGridLines="0" tabSelected="1" topLeftCell="A46" workbookViewId="0">
      <selection activeCell="D37" sqref="D37"/>
    </sheetView>
  </sheetViews>
  <sheetFormatPr baseColWidth="10" defaultRowHeight="14.4" x14ac:dyDescent="0.3"/>
  <cols>
    <col min="2" max="2" width="28.109375" customWidth="1"/>
    <col min="3" max="3" width="40.109375" customWidth="1"/>
    <col min="4" max="4" width="24.44140625" customWidth="1"/>
    <col min="6" max="6" width="12" customWidth="1"/>
  </cols>
  <sheetData>
    <row r="2" spans="2:3" x14ac:dyDescent="0.3">
      <c r="B2" s="23" t="s">
        <v>60</v>
      </c>
      <c r="C2" s="23"/>
    </row>
    <row r="4" spans="2:3" x14ac:dyDescent="0.3">
      <c r="B4" s="10" t="s">
        <v>46</v>
      </c>
      <c r="C4" s="11" t="s">
        <v>47</v>
      </c>
    </row>
    <row r="5" spans="2:3" x14ac:dyDescent="0.3">
      <c r="B5" s="12" t="s">
        <v>48</v>
      </c>
      <c r="C5" s="13" t="s">
        <v>49</v>
      </c>
    </row>
    <row r="6" spans="2:3" x14ac:dyDescent="0.3">
      <c r="B6" s="14" t="s">
        <v>50</v>
      </c>
      <c r="C6" s="15" t="s">
        <v>51</v>
      </c>
    </row>
    <row r="7" spans="2:3" x14ac:dyDescent="0.3">
      <c r="B7" s="12" t="s">
        <v>52</v>
      </c>
      <c r="C7" s="13" t="s">
        <v>53</v>
      </c>
    </row>
    <row r="8" spans="2:3" x14ac:dyDescent="0.3">
      <c r="B8" s="14" t="s">
        <v>54</v>
      </c>
      <c r="C8" s="15" t="s">
        <v>55</v>
      </c>
    </row>
    <row r="9" spans="2:3" x14ac:dyDescent="0.3">
      <c r="B9" s="12" t="s">
        <v>56</v>
      </c>
      <c r="C9" s="13" t="s">
        <v>57</v>
      </c>
    </row>
    <row r="10" spans="2:3" x14ac:dyDescent="0.3">
      <c r="B10" s="16" t="s">
        <v>58</v>
      </c>
      <c r="C10" s="8" t="s">
        <v>59</v>
      </c>
    </row>
    <row r="12" spans="2:3" x14ac:dyDescent="0.3">
      <c r="B12" s="24" t="s">
        <v>61</v>
      </c>
      <c r="C12" s="24"/>
    </row>
    <row r="14" spans="2:3" x14ac:dyDescent="0.3">
      <c r="B14" s="5" t="s">
        <v>62</v>
      </c>
      <c r="C14" s="5" t="s">
        <v>63</v>
      </c>
    </row>
    <row r="15" spans="2:3" x14ac:dyDescent="0.3">
      <c r="B15" s="6" t="s">
        <v>64</v>
      </c>
      <c r="C15" s="6" t="s">
        <v>65</v>
      </c>
    </row>
    <row r="16" spans="2:3" x14ac:dyDescent="0.3">
      <c r="B16" s="6" t="s">
        <v>66</v>
      </c>
      <c r="C16" s="6" t="s">
        <v>67</v>
      </c>
    </row>
    <row r="17" spans="2:6" x14ac:dyDescent="0.3">
      <c r="B17" s="6" t="s">
        <v>68</v>
      </c>
      <c r="C17" s="6" t="s">
        <v>69</v>
      </c>
    </row>
    <row r="18" spans="2:6" ht="28.8" x14ac:dyDescent="0.3">
      <c r="B18" s="6" t="s">
        <v>70</v>
      </c>
      <c r="C18" s="6" t="s">
        <v>71</v>
      </c>
    </row>
    <row r="20" spans="2:6" x14ac:dyDescent="0.3">
      <c r="B20" s="23" t="s">
        <v>72</v>
      </c>
      <c r="C20" s="23"/>
    </row>
    <row r="22" spans="2:6" x14ac:dyDescent="0.3">
      <c r="B22" s="5" t="s">
        <v>35</v>
      </c>
      <c r="C22" s="5" t="s">
        <v>73</v>
      </c>
      <c r="D22" s="5" t="s">
        <v>74</v>
      </c>
      <c r="E22" s="5" t="s">
        <v>75</v>
      </c>
      <c r="F22" s="5" t="s">
        <v>76</v>
      </c>
    </row>
    <row r="23" spans="2:6" x14ac:dyDescent="0.3">
      <c r="B23" s="4" t="s">
        <v>14</v>
      </c>
      <c r="C23" s="4" t="s">
        <v>77</v>
      </c>
      <c r="D23" s="17">
        <v>0.05</v>
      </c>
      <c r="E23" s="17">
        <v>-0.1</v>
      </c>
      <c r="F23" s="17">
        <v>-0.05</v>
      </c>
    </row>
    <row r="24" spans="2:6" x14ac:dyDescent="0.3">
      <c r="B24" s="4" t="s">
        <v>15</v>
      </c>
      <c r="C24" s="4" t="s">
        <v>78</v>
      </c>
      <c r="D24" s="17">
        <v>0.1</v>
      </c>
      <c r="E24" s="17">
        <v>-0.2</v>
      </c>
      <c r="F24" s="17">
        <v>-0.1</v>
      </c>
    </row>
    <row r="25" spans="2:6" x14ac:dyDescent="0.3">
      <c r="B25" s="4" t="s">
        <v>13</v>
      </c>
      <c r="C25" s="4" t="s">
        <v>79</v>
      </c>
      <c r="D25" s="17">
        <v>0.2</v>
      </c>
      <c r="E25" s="17">
        <v>-0.35</v>
      </c>
      <c r="F25" s="17">
        <v>-0.15</v>
      </c>
    </row>
    <row r="26" spans="2:6" x14ac:dyDescent="0.3">
      <c r="B26" s="25" t="s">
        <v>80</v>
      </c>
      <c r="C26" s="25"/>
    </row>
    <row r="28" spans="2:6" x14ac:dyDescent="0.3">
      <c r="B28" s="23" t="s">
        <v>81</v>
      </c>
      <c r="C28" s="23"/>
    </row>
    <row r="30" spans="2:6" x14ac:dyDescent="0.3">
      <c r="B30" s="9" t="s">
        <v>82</v>
      </c>
    </row>
    <row r="31" spans="2:6" x14ac:dyDescent="0.3">
      <c r="B31" s="18" t="s">
        <v>83</v>
      </c>
    </row>
    <row r="32" spans="2:6" x14ac:dyDescent="0.3">
      <c r="B32" t="s">
        <v>84</v>
      </c>
      <c r="C32" s="1" t="s">
        <v>85</v>
      </c>
      <c r="D32" t="s">
        <v>86</v>
      </c>
    </row>
    <row r="33" spans="2:4" x14ac:dyDescent="0.3">
      <c r="B33" t="s">
        <v>87</v>
      </c>
      <c r="C33" s="1" t="s">
        <v>88</v>
      </c>
      <c r="D33" t="s">
        <v>89</v>
      </c>
    </row>
    <row r="34" spans="2:4" x14ac:dyDescent="0.3">
      <c r="B34" t="s">
        <v>90</v>
      </c>
      <c r="C34" s="1" t="s">
        <v>91</v>
      </c>
      <c r="D34" t="s">
        <v>89</v>
      </c>
    </row>
    <row r="35" spans="2:4" x14ac:dyDescent="0.3">
      <c r="B35" t="s">
        <v>92</v>
      </c>
      <c r="C35" s="1" t="s">
        <v>93</v>
      </c>
      <c r="D35" t="s">
        <v>89</v>
      </c>
    </row>
    <row r="36" spans="2:4" x14ac:dyDescent="0.3">
      <c r="B36" t="s">
        <v>94</v>
      </c>
      <c r="C36" s="1" t="s">
        <v>95</v>
      </c>
      <c r="D36" t="s">
        <v>96</v>
      </c>
    </row>
    <row r="37" spans="2:4" x14ac:dyDescent="0.3">
      <c r="B37" s="25" t="s">
        <v>97</v>
      </c>
      <c r="C37" s="25"/>
    </row>
    <row r="39" spans="2:4" x14ac:dyDescent="0.3">
      <c r="B39" s="7" t="s">
        <v>98</v>
      </c>
    </row>
    <row r="40" spans="2:4" x14ac:dyDescent="0.3">
      <c r="B40" t="s">
        <v>99</v>
      </c>
    </row>
    <row r="41" spans="2:4" x14ac:dyDescent="0.3">
      <c r="B41" t="s">
        <v>100</v>
      </c>
    </row>
    <row r="43" spans="2:4" x14ac:dyDescent="0.3">
      <c r="B43" t="s">
        <v>101</v>
      </c>
    </row>
    <row r="44" spans="2:4" x14ac:dyDescent="0.3">
      <c r="B44" t="s">
        <v>35</v>
      </c>
      <c r="C44" s="1" t="s">
        <v>102</v>
      </c>
    </row>
    <row r="45" spans="2:4" x14ac:dyDescent="0.3">
      <c r="B45" t="s">
        <v>14</v>
      </c>
      <c r="C45" s="19">
        <v>0.03</v>
      </c>
    </row>
    <row r="46" spans="2:4" x14ac:dyDescent="0.3">
      <c r="B46" t="s">
        <v>15</v>
      </c>
      <c r="C46" s="19">
        <v>0.05</v>
      </c>
    </row>
    <row r="47" spans="2:4" x14ac:dyDescent="0.3">
      <c r="B47" t="s">
        <v>13</v>
      </c>
      <c r="C47" s="19">
        <v>0.08</v>
      </c>
    </row>
    <row r="49" spans="2:3" x14ac:dyDescent="0.3">
      <c r="B49" s="23" t="s">
        <v>103</v>
      </c>
      <c r="C49" s="23"/>
    </row>
    <row r="51" spans="2:3" x14ac:dyDescent="0.3">
      <c r="B51" t="s">
        <v>104</v>
      </c>
      <c r="C51" t="s">
        <v>47</v>
      </c>
    </row>
    <row r="52" spans="2:3" x14ac:dyDescent="0.3">
      <c r="B52" t="s">
        <v>105</v>
      </c>
      <c r="C52" t="s">
        <v>106</v>
      </c>
    </row>
    <row r="53" spans="2:3" x14ac:dyDescent="0.3">
      <c r="B53" t="s">
        <v>107</v>
      </c>
      <c r="C53" t="s">
        <v>108</v>
      </c>
    </row>
    <row r="54" spans="2:3" x14ac:dyDescent="0.3">
      <c r="B54" t="s">
        <v>109</v>
      </c>
      <c r="C54" t="s">
        <v>110</v>
      </c>
    </row>
    <row r="55" spans="2:3" x14ac:dyDescent="0.3">
      <c r="B55" s="26" t="s">
        <v>111</v>
      </c>
      <c r="C55" s="26"/>
    </row>
    <row r="57" spans="2:3" x14ac:dyDescent="0.3">
      <c r="B57" s="23" t="s">
        <v>112</v>
      </c>
      <c r="C57" s="23"/>
    </row>
    <row r="59" spans="2:3" x14ac:dyDescent="0.3">
      <c r="B59" s="18" t="s">
        <v>113</v>
      </c>
    </row>
    <row r="63" spans="2:3" x14ac:dyDescent="0.3">
      <c r="B63" s="27" t="s">
        <v>114</v>
      </c>
      <c r="C63" s="27"/>
    </row>
    <row r="64" spans="2:3" x14ac:dyDescent="0.3">
      <c r="B64" s="25" t="s">
        <v>115</v>
      </c>
      <c r="C64" s="25"/>
    </row>
    <row r="66" spans="2:4" x14ac:dyDescent="0.3">
      <c r="B66" s="23" t="s">
        <v>116</v>
      </c>
      <c r="C66" s="23"/>
    </row>
    <row r="68" spans="2:4" x14ac:dyDescent="0.3">
      <c r="B68" s="5" t="s">
        <v>117</v>
      </c>
      <c r="C68" s="5" t="s">
        <v>118</v>
      </c>
      <c r="D68" s="5" t="s">
        <v>11</v>
      </c>
    </row>
    <row r="69" spans="2:4" ht="15.6" customHeight="1" x14ac:dyDescent="0.3">
      <c r="B69" s="6" t="s">
        <v>119</v>
      </c>
      <c r="C69" s="4" t="s">
        <v>120</v>
      </c>
      <c r="D69" s="4" t="s">
        <v>121</v>
      </c>
    </row>
    <row r="70" spans="2:4" x14ac:dyDescent="0.3">
      <c r="B70" s="6" t="s">
        <v>122</v>
      </c>
      <c r="C70" s="4" t="s">
        <v>123</v>
      </c>
      <c r="D70" s="4" t="s">
        <v>124</v>
      </c>
    </row>
    <row r="71" spans="2:4" ht="13.8" customHeight="1" x14ac:dyDescent="0.3">
      <c r="B71" s="6" t="s">
        <v>125</v>
      </c>
      <c r="C71" s="4" t="s">
        <v>126</v>
      </c>
      <c r="D71" s="4" t="s">
        <v>127</v>
      </c>
    </row>
    <row r="72" spans="2:4" x14ac:dyDescent="0.3">
      <c r="B72" s="6" t="s">
        <v>128</v>
      </c>
      <c r="C72" s="4" t="s">
        <v>123</v>
      </c>
      <c r="D72" s="4" t="s">
        <v>129</v>
      </c>
    </row>
    <row r="73" spans="2:4" x14ac:dyDescent="0.3">
      <c r="B73" t="s">
        <v>130</v>
      </c>
    </row>
    <row r="74" spans="2:4" x14ac:dyDescent="0.3">
      <c r="B74" t="s">
        <v>131</v>
      </c>
      <c r="C74" t="s">
        <v>132</v>
      </c>
    </row>
    <row r="76" spans="2:4" x14ac:dyDescent="0.3">
      <c r="B76" s="23" t="s">
        <v>133</v>
      </c>
      <c r="C76" s="23"/>
    </row>
    <row r="78" spans="2:4" x14ac:dyDescent="0.3">
      <c r="B78" s="5" t="s">
        <v>134</v>
      </c>
      <c r="C78" s="5" t="s">
        <v>135</v>
      </c>
    </row>
    <row r="79" spans="2:4" x14ac:dyDescent="0.3">
      <c r="B79" s="6" t="s">
        <v>136</v>
      </c>
      <c r="C79" s="4" t="s">
        <v>138</v>
      </c>
    </row>
    <row r="80" spans="2:4" x14ac:dyDescent="0.3">
      <c r="B80" s="6" t="s">
        <v>137</v>
      </c>
      <c r="C80" s="4" t="s">
        <v>139</v>
      </c>
    </row>
    <row r="81" spans="2:3" x14ac:dyDescent="0.3">
      <c r="B81" t="s">
        <v>140</v>
      </c>
    </row>
    <row r="83" spans="2:3" x14ac:dyDescent="0.3">
      <c r="B83" s="24" t="s">
        <v>141</v>
      </c>
      <c r="C83" s="24"/>
    </row>
    <row r="85" spans="2:3" x14ac:dyDescent="0.3">
      <c r="B85" s="5" t="s">
        <v>142</v>
      </c>
      <c r="C85" s="5" t="s">
        <v>143</v>
      </c>
    </row>
    <row r="86" spans="2:3" x14ac:dyDescent="0.3">
      <c r="B86" s="6" t="s">
        <v>144</v>
      </c>
      <c r="C86" s="6" t="s">
        <v>145</v>
      </c>
    </row>
    <row r="87" spans="2:3" x14ac:dyDescent="0.3">
      <c r="B87" s="6" t="s">
        <v>146</v>
      </c>
      <c r="C87" s="6" t="s">
        <v>147</v>
      </c>
    </row>
    <row r="88" spans="2:3" x14ac:dyDescent="0.3">
      <c r="B88" s="6" t="s">
        <v>148</v>
      </c>
      <c r="C88" s="6" t="s">
        <v>149</v>
      </c>
    </row>
    <row r="89" spans="2:3" x14ac:dyDescent="0.3">
      <c r="B89" s="6" t="s">
        <v>150</v>
      </c>
      <c r="C89" s="6" t="s">
        <v>151</v>
      </c>
    </row>
    <row r="90" spans="2:3" x14ac:dyDescent="0.3">
      <c r="B90" s="6" t="s">
        <v>152</v>
      </c>
      <c r="C90" s="6" t="s">
        <v>153</v>
      </c>
    </row>
    <row r="91" spans="2:3" x14ac:dyDescent="0.3">
      <c r="B91" s="6" t="s">
        <v>154</v>
      </c>
      <c r="C91" s="6" t="s">
        <v>155</v>
      </c>
    </row>
    <row r="93" spans="2:3" ht="23.4" x14ac:dyDescent="0.3">
      <c r="B93" s="20" t="s">
        <v>156</v>
      </c>
    </row>
    <row r="95" spans="2:3" x14ac:dyDescent="0.3">
      <c r="B95" t="s">
        <v>157</v>
      </c>
    </row>
    <row r="96" spans="2:3" x14ac:dyDescent="0.3">
      <c r="B96" t="s">
        <v>158</v>
      </c>
    </row>
    <row r="97" spans="2:2" x14ac:dyDescent="0.3">
      <c r="B97" t="s">
        <v>159</v>
      </c>
    </row>
    <row r="98" spans="2:2" x14ac:dyDescent="0.3">
      <c r="B98" t="s">
        <v>160</v>
      </c>
    </row>
  </sheetData>
  <mergeCells count="14">
    <mergeCell ref="B2:C2"/>
    <mergeCell ref="B12:C12"/>
    <mergeCell ref="B20:C20"/>
    <mergeCell ref="B26:C26"/>
    <mergeCell ref="B28:C28"/>
    <mergeCell ref="B66:C66"/>
    <mergeCell ref="B76:C76"/>
    <mergeCell ref="B83:C83"/>
    <mergeCell ref="B37:C37"/>
    <mergeCell ref="B49:C49"/>
    <mergeCell ref="B55:C55"/>
    <mergeCell ref="B57:C57"/>
    <mergeCell ref="B63:C63"/>
    <mergeCell ref="B64:C64"/>
  </mergeCells>
  <pageMargins left="0.7" right="0.7" top="0.75" bottom="0.75" header="0.3" footer="0.3"/>
  <pageSetup paperSize="9" orientation="portrait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Paramètres</vt:lpstr>
      <vt:lpstr>Résultats</vt:lpstr>
      <vt:lpstr>Graphique</vt:lpstr>
      <vt:lpstr>Résultats_Comparatifs</vt:lpstr>
      <vt:lpstr>Résultats_MC</vt:lpstr>
      <vt:lpstr>GraphiqueComp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Frege Meli</dc:creator>
  <cp:lastModifiedBy>Frege Meli</cp:lastModifiedBy>
  <cp:lastPrinted>2025-10-26T19:14:55Z</cp:lastPrinted>
  <dcterms:created xsi:type="dcterms:W3CDTF">2025-10-24T11:40:48Z</dcterms:created>
  <dcterms:modified xsi:type="dcterms:W3CDTF">2025-11-19T15:11:21Z</dcterms:modified>
</cp:coreProperties>
</file>